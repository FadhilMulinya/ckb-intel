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hreshold Sensitivity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M1" authorId="0">
      <text>
        <r>
          <rPr>
            <sz val="10"/>
            <rFont val="Arial"/>
            <family val="2"/>
          </rPr>
          <t xml:space="preserve">Lowering bot_min_tx below the ORIGINAL collection threshold (1000) cannot be validly tested by this script: it only relabels addresses already in the 264-address committed pool, and every bot_like address in that pool already has tx_count &gt;= 1000 by construction (that's how it was fetched in the first place). So bot_min_tx=500 rows necessarily return the identical 160 addresses as bot_min_tx=1000 -- this is a ceiling effect from the pool, not evidence that no address exists with tx_count in [500,1000). See sensitivity_analysis.py docstring / scope_limitation field in sensitivity_results.json.</t>
        </r>
      </text>
    </comment>
  </commentList>
</comments>
</file>

<file path=xl/sharedStrings.xml><?xml version="1.0" encoding="utf-8"?>
<sst xmlns="http://schemas.openxmlformats.org/spreadsheetml/2006/main" count="31" uniqueCount="23">
  <si>
    <t xml:space="preserve">bot_min_tx</t>
  </si>
  <si>
    <t xml:space="preserve">human_max_tx</t>
  </si>
  <si>
    <t xml:space="preserve">n_bot_like</t>
  </si>
  <si>
    <t xml:space="preserve">n_human_like</t>
  </si>
  <si>
    <t xml:space="preserve">n_total</t>
  </si>
  <si>
    <t xml:space="preserve">model_selected</t>
  </si>
  <si>
    <t xml:space="preserve">held_out_accuracy</t>
  </si>
  <si>
    <t xml:space="preserve">n_label_changed_vs_current</t>
  </si>
  <si>
    <t xml:space="preserve">n_dropped_to_excluded</t>
  </si>
  <si>
    <t xml:space="preserve">n_bot_to_human</t>
  </si>
  <si>
    <t xml:space="preserve">n_human_to_bot</t>
  </si>
  <si>
    <t xml:space="preserve">is_current_setting</t>
  </si>
  <si>
    <t xml:space="preserve">valid_test_of_this_bot_min_tx?</t>
  </si>
  <si>
    <t xml:space="preserve">RandomForest</t>
  </si>
  <si>
    <t xml:space="preserve">Legend</t>
  </si>
  <si>
    <t xml:space="preserve">Current committed dataset setting (bot_min_tx=1000, human_max_tx=50).</t>
  </si>
  <si>
    <t xml:space="preserve">bot_min_tx &lt; 1000 -- NOT a valid robustness test in this direction; see column M and cell M1 comment.</t>
  </si>
  <si>
    <t xml:space="preserve">Key findings</t>
  </si>
  <si>
    <t xml:space="preserve">1. At the CURRENT threshold setting (1000/50), re-deriving labels from freshly-fetched lifetime tx_count drops 5 of the 91 originally-trained human_like addresses to 'excluded' (91-5=86, matches row above). None moved to bot_like. This reflects real drift: tx_count only grows over time, so an address just under 50 at original collection can drift past it.</t>
  </si>
  <si>
    <t xml:space="preserve">2. bot_like shows zero drift at any bot_min_tx &gt;= 1000 -- mechanically guaranteed, since tx_count cannot decrease, so an address that already cleared 1000 can never fall back below it.</t>
  </si>
  <si>
    <t xml:space="preserve">3. Raising bot_min_tx to 2000 IS a valid, meaningful test within the existing pool: only 90 of the original 160 bot_like addresses still clear a doubled threshold (56%).</t>
  </si>
  <si>
    <t xml:space="preserve">4. Held-out accuracy stays in the 95.2%-100% range across every combination that could train, suggesting the classifier's separability is not fragile to small threshold changes -- but this claim is scoped to the existing 264-address pool, not the wider address population.</t>
  </si>
  <si>
    <t xml:space="preserve">5. Source file: sensitivity_results.json (from sensitivity_analysis.py). Per-address change records (which 5 addresses drifted) are not in that file -- script needs a small patch to emit them if a per-address table is required for the report.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</si>
</sst>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%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305496"/>
        <bgColor rgb="FF666699"/>
      </patternFill>
    </fill>
    <fill>
      <patternFill patternType="solid">
        <fgColor rgb="FFFCE4D6"/>
        <bgColor rgb="FFFFFFFF"/>
      </patternFill>
    </fill>
    <fill>
      <patternFill patternType="solid">
        <fgColor rgb="FFC6E0B4"/>
        <bgColor rgb="FFCCCC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CE4D6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0B4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05496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2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4"/>
    <col collapsed="false" customWidth="true" hidden="false" outlineLevel="0" max="3" min="3" style="0" width="10"/>
    <col collapsed="false" customWidth="true" hidden="false" outlineLevel="0" max="4" min="4" style="0" width="12"/>
    <col collapsed="false" customWidth="true" hidden="false" outlineLevel="0" max="5" min="5" style="0" width="10"/>
    <col collapsed="false" customWidth="true" hidden="false" outlineLevel="0" max="6" min="6" style="0" width="16"/>
    <col collapsed="false" customWidth="true" hidden="false" outlineLevel="0" max="7" min="7" style="0" width="15"/>
    <col collapsed="false" customWidth="true" hidden="false" outlineLevel="0" max="8" min="8" style="0" width="20"/>
    <col collapsed="false" customWidth="true" hidden="false" outlineLevel="0" max="9" min="9" style="0" width="18"/>
    <col collapsed="false" customWidth="true" hidden="false" outlineLevel="0" max="11" min="10" style="0" width="14"/>
    <col collapsed="false" customWidth="true" hidden="false" outlineLevel="0" max="12" min="12" style="0" width="15"/>
    <col collapsed="false" customWidth="true" hidden="false" outlineLevel="0" max="13" min="13" style="0" width="30"/>
  </cols>
  <sheetData>
    <row r="1" customFormat="false" ht="30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customFormat="false" ht="15" hidden="false" customHeight="false" outlineLevel="0" collapsed="false">
      <c r="A2" s="2" t="n">
        <v>500</v>
      </c>
      <c r="B2" s="2" t="n">
        <v>20</v>
      </c>
      <c r="C2" s="2" t="n">
        <v>160</v>
      </c>
      <c r="D2" s="2" t="n">
        <v>66</v>
      </c>
      <c r="E2" s="2" t="n">
        <f aca="false">C2+D2</f>
        <v>226</v>
      </c>
      <c r="F2" s="2" t="s">
        <v>13</v>
      </c>
      <c r="G2" s="3" t="n">
        <v>0.9825</v>
      </c>
      <c r="H2" s="2" t="n">
        <v>25</v>
      </c>
      <c r="I2" s="2" t="n">
        <v>25</v>
      </c>
      <c r="J2" s="2" t="n">
        <v>0</v>
      </c>
      <c r="K2" s="2" t="n">
        <v>0</v>
      </c>
      <c r="L2" s="2" t="str">
        <f aca="false">IF(AND(A2=1000,B2=50),"CURRENT","")</f>
        <v/>
      </c>
      <c r="M2" s="2" t="str">
        <f aca="false">IF(A2&lt;1000,"No -- pool ceiling effect, see note","Yes")</f>
        <v>No -- pool ceiling effect, see note</v>
      </c>
    </row>
    <row r="3" customFormat="false" ht="15" hidden="false" customHeight="false" outlineLevel="0" collapsed="false">
      <c r="A3" s="2" t="n">
        <v>500</v>
      </c>
      <c r="B3" s="2" t="n">
        <v>50</v>
      </c>
      <c r="C3" s="2" t="n">
        <v>160</v>
      </c>
      <c r="D3" s="2" t="n">
        <v>86</v>
      </c>
      <c r="E3" s="2" t="n">
        <f aca="false">C3+D3</f>
        <v>246</v>
      </c>
      <c r="F3" s="2" t="s">
        <v>13</v>
      </c>
      <c r="G3" s="3" t="n">
        <v>0.9516</v>
      </c>
      <c r="H3" s="2" t="n">
        <v>5</v>
      </c>
      <c r="I3" s="2" t="n">
        <v>5</v>
      </c>
      <c r="J3" s="2" t="n">
        <v>0</v>
      </c>
      <c r="K3" s="2" t="n">
        <v>0</v>
      </c>
      <c r="L3" s="2" t="str">
        <f aca="false">IF(AND(A3=1000,B3=50),"CURRENT","")</f>
        <v/>
      </c>
      <c r="M3" s="2" t="str">
        <f aca="false">IF(A3&lt;1000,"No -- pool ceiling effect, see note","Yes")</f>
        <v>No -- pool ceiling effect, see note</v>
      </c>
    </row>
    <row r="4" customFormat="false" ht="15" hidden="false" customHeight="false" outlineLevel="0" collapsed="false">
      <c r="A4" s="2" t="n">
        <v>500</v>
      </c>
      <c r="B4" s="2" t="n">
        <v>100</v>
      </c>
      <c r="C4" s="2" t="n">
        <v>160</v>
      </c>
      <c r="D4" s="2" t="n">
        <v>91</v>
      </c>
      <c r="E4" s="2" t="n">
        <f aca="false">C4+D4</f>
        <v>251</v>
      </c>
      <c r="F4" s="2" t="s">
        <v>13</v>
      </c>
      <c r="G4" s="3" t="n">
        <v>0.9524</v>
      </c>
      <c r="H4" s="2" t="n">
        <v>0</v>
      </c>
      <c r="I4" s="2" t="n">
        <v>0</v>
      </c>
      <c r="J4" s="2" t="n">
        <v>0</v>
      </c>
      <c r="K4" s="2" t="n">
        <v>0</v>
      </c>
      <c r="L4" s="2" t="str">
        <f aca="false">IF(AND(A4=1000,B4=50),"CURRENT","")</f>
        <v/>
      </c>
      <c r="M4" s="2" t="str">
        <f aca="false">IF(A4&lt;1000,"No -- pool ceiling effect, see note","Yes")</f>
        <v>No -- pool ceiling effect, see note</v>
      </c>
    </row>
    <row r="5" customFormat="false" ht="15" hidden="false" customHeight="false" outlineLevel="0" collapsed="false">
      <c r="A5" s="4" t="n">
        <v>1000</v>
      </c>
      <c r="B5" s="4" t="n">
        <v>20</v>
      </c>
      <c r="C5" s="4" t="n">
        <v>160</v>
      </c>
      <c r="D5" s="4" t="n">
        <v>66</v>
      </c>
      <c r="E5" s="4" t="n">
        <f aca="false">C5+D5</f>
        <v>226</v>
      </c>
      <c r="F5" s="4" t="s">
        <v>13</v>
      </c>
      <c r="G5" s="5" t="n">
        <v>0.9825</v>
      </c>
      <c r="H5" s="4" t="n">
        <v>25</v>
      </c>
      <c r="I5" s="4" t="n">
        <v>25</v>
      </c>
      <c r="J5" s="4" t="n">
        <v>0</v>
      </c>
      <c r="K5" s="4" t="n">
        <v>0</v>
      </c>
      <c r="L5" s="4" t="str">
        <f aca="false">IF(AND(A5=1000,B5=50),"CURRENT","")</f>
        <v/>
      </c>
      <c r="M5" s="4" t="str">
        <f aca="false">IF(A5&lt;1000,"No -- pool ceiling effect, see note","Yes")</f>
        <v>Yes</v>
      </c>
    </row>
    <row r="6" customFormat="false" ht="15" hidden="false" customHeight="false" outlineLevel="0" collapsed="false">
      <c r="A6" s="6" t="n">
        <v>1000</v>
      </c>
      <c r="B6" s="6" t="n">
        <v>50</v>
      </c>
      <c r="C6" s="6" t="n">
        <v>160</v>
      </c>
      <c r="D6" s="6" t="n">
        <v>86</v>
      </c>
      <c r="E6" s="6" t="n">
        <f aca="false">C6+D6</f>
        <v>246</v>
      </c>
      <c r="F6" s="6" t="s">
        <v>13</v>
      </c>
      <c r="G6" s="7" t="n">
        <v>0.9516</v>
      </c>
      <c r="H6" s="6" t="n">
        <v>5</v>
      </c>
      <c r="I6" s="6" t="n">
        <v>5</v>
      </c>
      <c r="J6" s="6" t="n">
        <v>0</v>
      </c>
      <c r="K6" s="6" t="n">
        <v>0</v>
      </c>
      <c r="L6" s="6" t="str">
        <f aca="false">IF(AND(A6=1000,B6=50),"CURRENT","")</f>
        <v>CURRENT</v>
      </c>
      <c r="M6" s="6" t="str">
        <f aca="false">IF(A6&lt;1000,"No -- pool ceiling effect, see note","Yes")</f>
        <v>Yes</v>
      </c>
    </row>
    <row r="7" customFormat="false" ht="15" hidden="false" customHeight="false" outlineLevel="0" collapsed="false">
      <c r="A7" s="4" t="n">
        <v>1000</v>
      </c>
      <c r="B7" s="4" t="n">
        <v>100</v>
      </c>
      <c r="C7" s="4" t="n">
        <v>160</v>
      </c>
      <c r="D7" s="4" t="n">
        <v>91</v>
      </c>
      <c r="E7" s="4" t="n">
        <f aca="false">C7+D7</f>
        <v>251</v>
      </c>
      <c r="F7" s="4" t="s">
        <v>13</v>
      </c>
      <c r="G7" s="5" t="n">
        <v>0.9524</v>
      </c>
      <c r="H7" s="4" t="n">
        <v>0</v>
      </c>
      <c r="I7" s="4" t="n">
        <v>0</v>
      </c>
      <c r="J7" s="4" t="n">
        <v>0</v>
      </c>
      <c r="K7" s="4" t="n">
        <v>0</v>
      </c>
      <c r="L7" s="4" t="str">
        <f aca="false">IF(AND(A7=1000,B7=50),"CURRENT","")</f>
        <v/>
      </c>
      <c r="M7" s="4" t="str">
        <f aca="false">IF(A7&lt;1000,"No -- pool ceiling effect, see note","Yes")</f>
        <v>Yes</v>
      </c>
    </row>
    <row r="8" customFormat="false" ht="15" hidden="false" customHeight="false" outlineLevel="0" collapsed="false">
      <c r="A8" s="4" t="n">
        <v>2000</v>
      </c>
      <c r="B8" s="4" t="n">
        <v>20</v>
      </c>
      <c r="C8" s="4" t="n">
        <v>90</v>
      </c>
      <c r="D8" s="4" t="n">
        <v>66</v>
      </c>
      <c r="E8" s="4" t="n">
        <f aca="false">C8+D8</f>
        <v>156</v>
      </c>
      <c r="F8" s="4" t="s">
        <v>13</v>
      </c>
      <c r="G8" s="5" t="n">
        <v>1</v>
      </c>
      <c r="H8" s="4" t="n">
        <v>95</v>
      </c>
      <c r="I8" s="4" t="n">
        <v>95</v>
      </c>
      <c r="J8" s="4" t="n">
        <v>0</v>
      </c>
      <c r="K8" s="4" t="n">
        <v>0</v>
      </c>
      <c r="L8" s="4" t="str">
        <f aca="false">IF(AND(A8=1000,B8=50),"CURRENT","")</f>
        <v/>
      </c>
      <c r="M8" s="4" t="str">
        <f aca="false">IF(A8&lt;1000,"No -- pool ceiling effect, see note","Yes")</f>
        <v>Yes</v>
      </c>
    </row>
    <row r="9" customFormat="false" ht="15" hidden="false" customHeight="false" outlineLevel="0" collapsed="false">
      <c r="A9" s="4" t="n">
        <v>2000</v>
      </c>
      <c r="B9" s="4" t="n">
        <v>50</v>
      </c>
      <c r="C9" s="4" t="n">
        <v>90</v>
      </c>
      <c r="D9" s="4" t="n">
        <v>86</v>
      </c>
      <c r="E9" s="4" t="n">
        <f aca="false">C9+D9</f>
        <v>176</v>
      </c>
      <c r="F9" s="4" t="s">
        <v>13</v>
      </c>
      <c r="G9" s="5" t="n">
        <v>0.9545</v>
      </c>
      <c r="H9" s="4" t="n">
        <v>75</v>
      </c>
      <c r="I9" s="4" t="n">
        <v>75</v>
      </c>
      <c r="J9" s="4" t="n">
        <v>0</v>
      </c>
      <c r="K9" s="4" t="n">
        <v>0</v>
      </c>
      <c r="L9" s="4" t="str">
        <f aca="false">IF(AND(A9=1000,B9=50),"CURRENT","")</f>
        <v/>
      </c>
      <c r="M9" s="4" t="str">
        <f aca="false">IF(A9&lt;1000,"No -- pool ceiling effect, see note","Yes")</f>
        <v>Yes</v>
      </c>
    </row>
    <row r="10" customFormat="false" ht="15" hidden="false" customHeight="false" outlineLevel="0" collapsed="false">
      <c r="A10" s="4" t="n">
        <v>2000</v>
      </c>
      <c r="B10" s="4" t="n">
        <v>100</v>
      </c>
      <c r="C10" s="4" t="n">
        <v>90</v>
      </c>
      <c r="D10" s="4" t="n">
        <v>91</v>
      </c>
      <c r="E10" s="4" t="n">
        <f aca="false">C10+D10</f>
        <v>181</v>
      </c>
      <c r="F10" s="4" t="s">
        <v>13</v>
      </c>
      <c r="G10" s="5" t="n">
        <v>0.9565</v>
      </c>
      <c r="H10" s="4" t="n">
        <v>70</v>
      </c>
      <c r="I10" s="4" t="n">
        <v>70</v>
      </c>
      <c r="J10" s="4" t="n">
        <v>0</v>
      </c>
      <c r="K10" s="4" t="n">
        <v>0</v>
      </c>
      <c r="L10" s="4" t="str">
        <f aca="false">IF(AND(A10=1000,B10=50),"CURRENT","")</f>
        <v/>
      </c>
      <c r="M10" s="4" t="str">
        <f aca="false">IF(A10&lt;1000,"No -- pool ceiling effect, see note","Yes")</f>
        <v>Yes</v>
      </c>
    </row>
    <row r="13" customFormat="false" ht="15" hidden="false" customHeight="false" outlineLevel="0" collapsed="false">
      <c r="A13" s="8" t="s">
        <v>14</v>
      </c>
    </row>
    <row r="14" customFormat="false" ht="15" hidden="false" customHeight="true" outlineLevel="0" collapsed="false">
      <c r="A14" s="9"/>
      <c r="B14" s="10" t="s">
        <v>15</v>
      </c>
      <c r="C14" s="10"/>
      <c r="D14" s="10"/>
      <c r="E14" s="10"/>
      <c r="F14" s="10"/>
      <c r="G14" s="10"/>
      <c r="H14" s="10"/>
    </row>
    <row r="15" customFormat="false" ht="15" hidden="false" customHeight="true" outlineLevel="0" collapsed="false">
      <c r="A15" s="11"/>
      <c r="B15" s="10" t="s">
        <v>16</v>
      </c>
      <c r="C15" s="10"/>
      <c r="D15" s="10"/>
      <c r="E15" s="10"/>
      <c r="F15" s="10"/>
      <c r="G15" s="10"/>
      <c r="H15" s="10"/>
    </row>
    <row r="17" customFormat="false" ht="15" hidden="false" customHeight="false" outlineLevel="0" collapsed="false">
      <c r="A17" s="8" t="s">
        <v>17</v>
      </c>
    </row>
    <row r="18" customFormat="false" ht="30" hidden="false" customHeight="true" outlineLevel="0" collapsed="false">
      <c r="A18" s="10" t="s">
        <v>18</v>
      </c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</row>
    <row r="19" customFormat="false" ht="30" hidden="false" customHeight="true" outlineLevel="0" collapsed="false">
      <c r="A19" s="10" t="s">
        <v>19</v>
      </c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</row>
    <row r="20" customFormat="false" ht="30" hidden="false" customHeight="true" outlineLevel="0" collapsed="false">
      <c r="A20" s="10" t="s">
        <v>20</v>
      </c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</row>
    <row r="21" customFormat="false" ht="30" hidden="false" customHeight="true" outlineLevel="0" collapsed="false">
      <c r="A21" s="10" t="s">
        <v>21</v>
      </c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</row>
    <row r="22" customFormat="false" ht="30" hidden="false" customHeight="true" outlineLevel="0" collapsed="false">
      <c r="A22" s="10" t="s">
        <v>22</v>
      </c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</row>
  </sheetData>
  <mergeCells count="7">
    <mergeCell ref="B14:H14"/>
    <mergeCell ref="B15:H15"/>
    <mergeCell ref="A18:M18"/>
    <mergeCell ref="A19:M19"/>
    <mergeCell ref="A20:M20"/>
    <mergeCell ref="A21:M21"/>
    <mergeCell ref="A22:M2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2026-08-10T06:58:05Z</dcterms:created>
  <dc:creator>openpyxl</dc:creator>
  <dc:description/>
  <dc:language>en-US</dc:language>
  <cp:lastModifiedBy/>
  <dcterms:modified xsi:type="dcterms:W3CDTF">2026-08-10T06:58:05Z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